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2F8BC05-68E3-4806-B821-33122A4BA7B9}" xr6:coauthVersionLast="47" xr6:coauthVersionMax="47" xr10:uidLastSave="{00000000-0000-0000-0000-000000000000}"/>
  <bookViews>
    <workbookView xWindow="-110" yWindow="-110" windowWidth="19420" windowHeight="11020" xr2:uid="{4CC19BD8-5751-47E3-AAEC-6FE0067FEF18}"/>
  </bookViews>
  <sheets>
    <sheet name="Sheet1" sheetId="4" r:id="rId1"/>
    <sheet name="dim_hubs" sheetId="1" r:id="rId2"/>
    <sheet name="dim_merchants" sheetId="2" r:id="rId3"/>
    <sheet name="fact_transactions" sheetId="3" r:id="rId4"/>
  </sheet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2" i="3"/>
  <c r="K2" i="3"/>
  <c r="K3" i="3"/>
  <c r="K4" i="3"/>
  <c r="K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2" i="3"/>
  <c r="K6" i="3"/>
  <c r="K7" i="3"/>
  <c r="K8" i="3"/>
  <c r="K9" i="3"/>
  <c r="K10" i="3"/>
  <c r="K11" i="3"/>
  <c r="K12" i="3"/>
  <c r="K13" i="3"/>
  <c r="K14" i="3"/>
  <c r="K15" i="3"/>
  <c r="K16" i="3"/>
  <c r="M10" i="3" l="1" a="1"/>
  <c r="M11" i="3" a="1"/>
  <c r="M13" i="3" a="1"/>
  <c r="M14" i="3" a="1"/>
  <c r="M15" i="3" a="1"/>
  <c r="M16" i="3" a="1"/>
  <c r="M5" i="3" a="1"/>
  <c r="M5" i="3" s="1"/>
  <c r="M6" i="3" a="1"/>
  <c r="M6" i="3" s="1"/>
  <c r="M3" i="3" a="1"/>
  <c r="M3" i="3" s="1"/>
  <c r="M15" i="3"/>
  <c r="M7" i="3" a="1"/>
  <c r="M7" i="3" s="1"/>
  <c r="M12" i="3" a="1"/>
  <c r="M12" i="3" s="1"/>
  <c r="M2" i="3" a="1"/>
  <c r="M8" i="3" a="1"/>
  <c r="M8" i="3" s="1"/>
  <c r="M9" i="3" a="1"/>
  <c r="M9" i="3" s="1"/>
  <c r="M4" i="3" a="1"/>
  <c r="M4" i="3" s="1"/>
  <c r="M16" i="3" l="1"/>
  <c r="M14" i="3"/>
  <c r="M10" i="3"/>
  <c r="M11" i="3"/>
  <c r="M13" i="3"/>
  <c r="M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<sst xmlns="http://schemas.openxmlformats.org/spreadsheetml/2006/main" count="112" uniqueCount="54">
  <si>
    <t>Hub_ID</t>
  </si>
  <si>
    <t>Region_City</t>
  </si>
  <si>
    <t>Warehouse_Capacity_Sqm</t>
  </si>
  <si>
    <t>HUB-01</t>
  </si>
  <si>
    <t>HUB-02</t>
  </si>
  <si>
    <t>HUB-03</t>
  </si>
  <si>
    <t>Riyadh</t>
  </si>
  <si>
    <t>Jeddah</t>
  </si>
  <si>
    <t>Dammam</t>
  </si>
  <si>
    <t>Merchant_ID</t>
  </si>
  <si>
    <t>Merchant_Name</t>
  </si>
  <si>
    <t>Category</t>
  </si>
  <si>
    <t>Jarir Express</t>
  </si>
  <si>
    <t>Almarai Digital</t>
  </si>
  <si>
    <t>Extra Direct</t>
  </si>
  <si>
    <t>Whites Pharmacy</t>
  </si>
  <si>
    <t>Electronics</t>
  </si>
  <si>
    <t>Groceries</t>
  </si>
  <si>
    <t>Health</t>
  </si>
  <si>
    <t>Transaction_ID</t>
  </si>
  <si>
    <t>Order_Date</t>
  </si>
  <si>
    <t>Delivery_Date</t>
  </si>
  <si>
    <t>Gross_Volume_SAR</t>
  </si>
  <si>
    <t>Payment_Type</t>
  </si>
  <si>
    <t>Gateway_Fee_SAR</t>
  </si>
  <si>
    <t>TN-901</t>
  </si>
  <si>
    <t>TN-902</t>
  </si>
  <si>
    <t>TN-903</t>
  </si>
  <si>
    <t>TN-904</t>
  </si>
  <si>
    <t>TN-905</t>
  </si>
  <si>
    <t>TN-906</t>
  </si>
  <si>
    <t>TN-907</t>
  </si>
  <si>
    <t>TN-908</t>
  </si>
  <si>
    <t>TN-909</t>
  </si>
  <si>
    <t>TN-910</t>
  </si>
  <si>
    <t>TN-911</t>
  </si>
  <si>
    <t>TN-912</t>
  </si>
  <si>
    <t>TN-913</t>
  </si>
  <si>
    <t>TN-914</t>
  </si>
  <si>
    <t>TN-915</t>
  </si>
  <si>
    <t>MCH-101</t>
  </si>
  <si>
    <t>MCH-102</t>
  </si>
  <si>
    <t>MCH-103</t>
  </si>
  <si>
    <t>MCH-104</t>
  </si>
  <si>
    <t>Mada</t>
  </si>
  <si>
    <t>STC Pay</t>
  </si>
  <si>
    <t>Apple Pay</t>
  </si>
  <si>
    <t>Credit Card</t>
  </si>
  <si>
    <t>Network_Days</t>
  </si>
  <si>
    <t>Trim</t>
  </si>
  <si>
    <t>Delivery</t>
  </si>
  <si>
    <t>Row Labels</t>
  </si>
  <si>
    <t>Grand Total</t>
  </si>
  <si>
    <t>Sum of Gross_Volume_SAR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</si>
</sst>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[Saudi_Marketplace_Core.xlsx]Sheet1!PivotTable1</c:name>
    <c:fmtId val="2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Sheet1!$A$4:$A$16</c:f>
              <c:multiLvlStrCache>
                <c:ptCount val="8"/>
                <c:lvl>
                  <c:pt idx="0">
                    <c:v>Apple Pay</c:v>
                  </c:pt>
                  <c:pt idx="1">
                    <c:v>STC Pay</c:v>
                  </c:pt>
                  <c:pt idx="2">
                    <c:v>Apple Pay</c:v>
                  </c:pt>
                  <c:pt idx="3">
                    <c:v>Credit Card</c:v>
                  </c:pt>
                  <c:pt idx="4">
                    <c:v>STC Pay</c:v>
                  </c:pt>
                  <c:pt idx="5">
                    <c:v>Mada</c:v>
                  </c:pt>
                  <c:pt idx="6">
                    <c:v>Credit Card</c:v>
                  </c:pt>
                  <c:pt idx="7">
                    <c:v>STC Pay</c:v>
                  </c:pt>
                </c:lvl>
                <c:lvl>
                  <c:pt idx="0">
                    <c:v>Almarai Digital</c:v>
                  </c:pt>
                  <c:pt idx="2">
                    <c:v>Extra Direct</c:v>
                  </c:pt>
                  <c:pt idx="5">
                    <c:v>Jarir Express</c:v>
                  </c:pt>
                  <c:pt idx="6">
                    <c:v>Whites Pharmacy</c:v>
                  </c:pt>
                </c:lvl>
              </c:multiLvlStrCache>
            </c:multiLvlStrRef>
          </c:cat>
          <c:val>
            <c:numRef>
              <c:f>Sheet1!$B$4:$B$16</c:f>
              <c:numCache>
                <c:formatCode>General</c:formatCode>
                <c:ptCount val="8"/>
                <c:pt idx="0">
                  <c:v>1790</c:v>
                </c:pt>
                <c:pt idx="1">
                  <c:v>350</c:v>
                </c:pt>
                <c:pt idx="2">
                  <c:v>1200</c:v>
                </c:pt>
                <c:pt idx="3">
                  <c:v>12500</c:v>
                </c:pt>
                <c:pt idx="4">
                  <c:v>2080</c:v>
                </c:pt>
                <c:pt idx="5">
                  <c:v>11300</c:v>
                </c:pt>
                <c:pt idx="6">
                  <c:v>25400</c:v>
                </c:pt>
                <c:pt idx="7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E-45B5-BE54-68798D216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74389775"/>
        <c:axId val="1274388335"/>
      </c:barChart>
      <c:catAx>
        <c:axId val="127438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388335"/>
        <c:crosses val="autoZero"/>
        <c:auto val="1"/>
        <c:lblAlgn val="ctr"/>
        <c:lblOffset val="100"/>
        <c:noMultiLvlLbl val="0"/>
      </c:catAx>
      <c:valAx>
        <c:axId val="127438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38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36278</xdr:colOff>
      <xdr:row>2</xdr:row>
      <xdr:rowOff>90892</xdr:rowOff>
    </xdr:from>
    <xdr:to>
      <xdr:col>7</xdr:col>
      <xdr:colOff>757415</xdr:colOff>
      <xdr:row>16</xdr:row>
      <xdr:rowOff>52521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58A8DE-E4BE-489F-96F3-7308B270D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76.446968402779" createdVersion="8" refreshedVersion="8" minRefreshableVersion="3" recordCount="15" xr:uid="{EAD87A44-AED9-4941-B94F-A14B5C07F0CA}">
  <cacheSource type="worksheet">
    <worksheetSource ref="A1:M16" sheet="fact_transactions"/>
  </cacheSource>
  <cacheFields count="12">
    <cacheField name="Transaction_ID" numFmtId="0">
      <sharedItems/>
    </cacheField>
    <cacheField name="Hub_ID" numFmtId="0">
      <sharedItems/>
    </cacheField>
    <cacheField name="Merchant_ID" numFmtId="0">
      <sharedItems/>
    </cacheField>
    <cacheField name="Order_Date" numFmtId="14">
      <sharedItems containsSemiMixedTypes="0" containsNonDate="0" containsDate="1" containsString="0" minDate="2026-05-01T00:00:00" maxDate="2026-05-13T00:00:00"/>
    </cacheField>
    <cacheField name="Delivery_Date" numFmtId="14">
      <sharedItems containsSemiMixedTypes="0" containsNonDate="0" containsDate="1" containsString="0" minDate="2026-05-02T00:00:00" maxDate="2026-05-17T00:00:00"/>
    </cacheField>
    <cacheField name="Gross_Volume_SAR" numFmtId="0">
      <sharedItems containsSemiMixedTypes="0" containsString="0" containsNumber="1" containsInteger="1" minValue="320" maxValue="16500"/>
    </cacheField>
    <cacheField name="Payment_Type" numFmtId="0">
      <sharedItems count="4">
        <s v="Mada"/>
        <s v="STC Pay"/>
        <s v="Apple Pay"/>
        <s v="Credit Card"/>
      </sharedItems>
    </cacheField>
    <cacheField name="Gateway_Fee_SAR" numFmtId="0">
      <sharedItems containsSemiMixedTypes="0" containsString="0" containsNumber="1" minValue="1.6" maxValue="330"/>
    </cacheField>
    <cacheField name="Merchant_Name" numFmtId="0">
      <sharedItems count="4">
        <s v="Jarir Express"/>
        <s v="Almarai Digital"/>
        <s v="Extra Direct"/>
        <s v="Whites Pharmacy"/>
      </sharedItems>
    </cacheField>
    <cacheField name="Trim" numFmtId="0">
      <sharedItems/>
    </cacheField>
    <cacheField name="Network_Days" numFmtId="0">
      <sharedItems containsSemiMixedTypes="0" containsString="0" containsNumber="1" containsInteger="1" minValue="0" maxValue="5"/>
    </cacheField>
    <cacheField name="Delive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TN-901"/>
    <s v="HUB-01"/>
    <s v="MCH-101"/>
    <d v="2026-05-01T00:00:00"/>
    <d v="2026-05-02T00:00:00"/>
    <n v="4500"/>
    <x v="0"/>
    <n v="15"/>
    <x v="0"/>
    <s v="MCH-101"/>
    <n v="1"/>
    <s v="Instant"/>
  </r>
  <r>
    <s v="TN-902"/>
    <s v="HUB-01"/>
    <s v="MCH-102"/>
    <d v="2026-05-01T00:00:00"/>
    <d v="2026-05-04T00:00:00"/>
    <n v="350"/>
    <x v="1"/>
    <n v="3.5"/>
    <x v="1"/>
    <s v="MCH-102"/>
    <n v="2"/>
    <s v="Standard"/>
  </r>
  <r>
    <s v="TN-903"/>
    <s v="HUB-01"/>
    <s v="MCH-103"/>
    <d v="2026-05-02T00:00:00"/>
    <d v="2026-05-02T00:00:00"/>
    <n v="1200"/>
    <x v="2"/>
    <n v="6"/>
    <x v="2"/>
    <s v="MCH-103"/>
    <n v="0"/>
    <s v="Instant"/>
  </r>
  <r>
    <s v="TN-904"/>
    <s v="HUB-01"/>
    <s v="MCH-104"/>
    <d v="2026-05-02T00:00:00"/>
    <d v="2026-05-05T00:00:00"/>
    <n v="8900"/>
    <x v="3"/>
    <n v="178"/>
    <x v="3"/>
    <s v="MCH-104"/>
    <n v="2"/>
    <s v="Standard"/>
  </r>
  <r>
    <s v="TN-905"/>
    <s v="HUB-02"/>
    <s v="MCH-101"/>
    <d v="2026-05-03T00:00:00"/>
    <d v="2026-05-04T00:00:00"/>
    <n v="1500"/>
    <x v="0"/>
    <n v="5"/>
    <x v="0"/>
    <s v="MCH-101"/>
    <n v="1"/>
    <s v="Instant"/>
  </r>
  <r>
    <s v="TN-906"/>
    <s v="HUB-02"/>
    <s v="MCH-102"/>
    <d v="2026-05-04T00:00:00"/>
    <d v="2026-05-08T00:00:00"/>
    <n v="620"/>
    <x v="2"/>
    <n v="3.1"/>
    <x v="1"/>
    <s v="MCH-102"/>
    <n v="5"/>
    <s v="Delayed"/>
  </r>
  <r>
    <s v="TN-907"/>
    <s v="HUB-02"/>
    <s v="MCH-103"/>
    <d v="2026-05-05T00:00:00"/>
    <d v="2026-05-06T00:00:00"/>
    <n v="12500"/>
    <x v="3"/>
    <n v="250"/>
    <x v="2"/>
    <s v="MCH-103"/>
    <n v="2"/>
    <s v="Standard"/>
  </r>
  <r>
    <s v="TN-908"/>
    <s v="HUB-03"/>
    <s v="MCH-104"/>
    <d v="2026-05-05T00:00:00"/>
    <d v="2026-05-09T00:00:00"/>
    <n v="450"/>
    <x v="1"/>
    <n v="4.5"/>
    <x v="3"/>
    <s v="MCH-104"/>
    <n v="4"/>
    <s v="Delayed"/>
  </r>
  <r>
    <s v="TN-909"/>
    <s v="HUB-03"/>
    <s v="MCH-101"/>
    <d v="2026-05-06T00:00:00"/>
    <d v="2026-05-07T00:00:00"/>
    <n v="3200"/>
    <x v="0"/>
    <n v="10"/>
    <x v="0"/>
    <s v="MCH-101"/>
    <n v="2"/>
    <s v="Standard"/>
  </r>
  <r>
    <s v="TN-910"/>
    <s v="HUB-03"/>
    <s v="MCH-102"/>
    <d v="2026-05-07T00:00:00"/>
    <d v="2026-05-07T00:00:00"/>
    <n v="850"/>
    <x v="2"/>
    <n v="4.25"/>
    <x v="1"/>
    <s v="MCH-102"/>
    <n v="1"/>
    <s v="Instant"/>
  </r>
  <r>
    <s v="TN-911"/>
    <s v="HUB-03"/>
    <s v="MCH-103"/>
    <d v="2026-05-08T00:00:00"/>
    <d v="2026-05-12T00:00:00"/>
    <n v="1100"/>
    <x v="1"/>
    <n v="11"/>
    <x v="2"/>
    <s v="MCH-103"/>
    <n v="3"/>
    <s v="Standard"/>
  </r>
  <r>
    <s v="TN-912"/>
    <s v="HUB-03"/>
    <s v="MCH-104"/>
    <d v="2026-05-09T00:00:00"/>
    <d v="2026-05-11T00:00:00"/>
    <n v="16500"/>
    <x v="3"/>
    <n v="330"/>
    <x v="3"/>
    <s v="MCH-104"/>
    <n v="1"/>
    <s v="Instant"/>
  </r>
  <r>
    <s v="TN-913"/>
    <s v="HUB-01"/>
    <s v="MCH-101"/>
    <d v="2026-05-10T00:00:00"/>
    <d v="2026-05-11T00:00:00"/>
    <n v="2100"/>
    <x v="0"/>
    <n v="7"/>
    <x v="0"/>
    <s v="MCH-101"/>
    <n v="1"/>
    <s v="Instant"/>
  </r>
  <r>
    <s v="TN-914"/>
    <s v="HUB-02"/>
    <s v="MCH-102"/>
    <d v="2026-05-11T00:00:00"/>
    <d v="2026-05-11T00:00:00"/>
    <n v="320"/>
    <x v="2"/>
    <n v="1.6"/>
    <x v="1"/>
    <s v="MCH-102"/>
    <n v="1"/>
    <s v="Instant"/>
  </r>
  <r>
    <s v="TN-915"/>
    <s v="HUB-03"/>
    <s v="MCH-103"/>
    <d v="2026-05-12T00:00:00"/>
    <d v="2026-05-16T00:00:00"/>
    <n v="980"/>
    <x v="1"/>
    <n v="9.8000000000000007"/>
    <x v="2"/>
    <s v="MCH-103"/>
    <n v="4"/>
    <s v="Delaye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B3265-9B95-48B9-B18E-F1EC310506C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8">
  <location ref="A3:B16" firstHeaderRow="1" firstDataRow="1" firstDataCol="1"/>
  <pivotFields count="12">
    <pivotField showAll="0"/>
    <pivotField showAll="0"/>
    <pivotField showAll="0"/>
    <pivotField numFmtId="14" showAll="0"/>
    <pivotField numFmtId="14" showAll="0"/>
    <pivotField dataField="1" showAll="0"/>
    <pivotField axis="axisRow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</pivotFields>
  <rowFields count="2">
    <field x="8"/>
    <field x="6"/>
  </rowFields>
  <rowItems count="13">
    <i>
      <x/>
    </i>
    <i r="1">
      <x/>
    </i>
    <i r="1">
      <x v="3"/>
    </i>
    <i>
      <x v="1"/>
    </i>
    <i r="1">
      <x/>
    </i>
    <i r="1">
      <x v="1"/>
    </i>
    <i r="1">
      <x v="3"/>
    </i>
    <i>
      <x v="2"/>
    </i>
    <i r="1">
      <x v="2"/>
    </i>
    <i>
      <x v="3"/>
    </i>
    <i r="1">
      <x v="1"/>
    </i>
    <i r="1">
      <x v="3"/>
    </i>
    <i t="grand">
      <x/>
    </i>
  </rowItems>
  <colItems count="1">
    <i/>
  </colItems>
  <dataFields count="1">
    <dataField name="Sum of Gross_Volume_SAR" fld="5" baseField="0" baseItem="0"/>
  </dataFields>
  <chartFormats count="8"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chartFormat>
    <chartFormat chart="22" format="2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8" count="1" selected="0">
            <x v="1"/>
          </reference>
        </references>
      </pivotArea>
    </chartFormat>
    <chartFormat chart="22" format="3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1"/>
          </reference>
        </references>
      </pivotArea>
    </chartFormat>
    <chartFormat chart="22" format="4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3"/>
          </reference>
          <reference field="8" count="1" selected="0">
            <x v="1"/>
          </reference>
        </references>
      </pivotArea>
    </chartFormat>
    <chartFormat chart="22" format="5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2"/>
          </reference>
          <reference field="8" count="1" selected="0">
            <x v="2"/>
          </reference>
        </references>
      </pivotArea>
    </chartFormat>
    <chartFormat chart="22" format="6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8" count="1" selected="0">
            <x v="3"/>
          </reference>
        </references>
      </pivotArea>
    </chartFormat>
    <chartFormat chart="22" format="7" series="1">
      <pivotArea type="data" outline="0" fieldPosition="0">
        <references count="3">
          <reference field="4294967294" count="1" selected="0">
            <x v="0"/>
          </reference>
          <reference field="6" count="1" selected="0">
            <x v="3"/>
          </reference>
          <reference field="8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0954A-4369-4718-A726-E7D3C425E5A5}">
  <dimension ref="A3:B16"/>
  <sheetViews>
    <sheetView tabSelected="1" topLeftCell="A2" zoomScale="93" workbookViewId="0">
      <selection activeCell="B19" sqref="B19"/>
    </sheetView>
  </sheetViews>
  <sheetFormatPr defaultRowHeight="14.5" x14ac:dyDescent="0.35"/>
  <cols>
    <col min="1" max="1" width="17.1796875" bestFit="1" customWidth="1"/>
    <col min="2" max="2" width="23.36328125" bestFit="1" customWidth="1"/>
    <col min="3" max="3" width="7.453125" bestFit="1" customWidth="1"/>
    <col min="4" max="4" width="17.7265625" bestFit="1" customWidth="1"/>
    <col min="5" max="5" width="12.1796875" bestFit="1" customWidth="1"/>
    <col min="6" max="6" width="10.36328125" bestFit="1" customWidth="1"/>
    <col min="7" max="7" width="7.453125" bestFit="1" customWidth="1"/>
    <col min="8" max="8" width="15" bestFit="1" customWidth="1"/>
    <col min="9" max="9" width="12.81640625" bestFit="1" customWidth="1"/>
    <col min="10" max="10" width="15.6328125" bestFit="1" customWidth="1"/>
    <col min="11" max="11" width="17.1796875" bestFit="1" customWidth="1"/>
    <col min="12" max="12" width="7.453125" bestFit="1" customWidth="1"/>
    <col min="13" max="13" width="20" bestFit="1" customWidth="1"/>
    <col min="14" max="14" width="10.36328125" bestFit="1" customWidth="1"/>
  </cols>
  <sheetData>
    <row r="3" spans="1:2" x14ac:dyDescent="0.35">
      <c r="A3" s="2" t="s">
        <v>51</v>
      </c>
      <c r="B3" t="s">
        <v>53</v>
      </c>
    </row>
    <row r="4" spans="1:2" x14ac:dyDescent="0.35">
      <c r="A4" s="3" t="s">
        <v>13</v>
      </c>
      <c r="B4" s="4">
        <v>2140</v>
      </c>
    </row>
    <row r="5" spans="1:2" x14ac:dyDescent="0.35">
      <c r="A5" s="5" t="s">
        <v>46</v>
      </c>
      <c r="B5" s="4">
        <v>1790</v>
      </c>
    </row>
    <row r="6" spans="1:2" x14ac:dyDescent="0.35">
      <c r="A6" s="5" t="s">
        <v>45</v>
      </c>
      <c r="B6" s="4">
        <v>350</v>
      </c>
    </row>
    <row r="7" spans="1:2" x14ac:dyDescent="0.35">
      <c r="A7" s="3" t="s">
        <v>14</v>
      </c>
      <c r="B7" s="4">
        <v>15780</v>
      </c>
    </row>
    <row r="8" spans="1:2" x14ac:dyDescent="0.35">
      <c r="A8" s="5" t="s">
        <v>46</v>
      </c>
      <c r="B8" s="4">
        <v>1200</v>
      </c>
    </row>
    <row r="9" spans="1:2" x14ac:dyDescent="0.35">
      <c r="A9" s="5" t="s">
        <v>47</v>
      </c>
      <c r="B9" s="4">
        <v>12500</v>
      </c>
    </row>
    <row r="10" spans="1:2" x14ac:dyDescent="0.35">
      <c r="A10" s="5" t="s">
        <v>45</v>
      </c>
      <c r="B10" s="4">
        <v>2080</v>
      </c>
    </row>
    <row r="11" spans="1:2" x14ac:dyDescent="0.35">
      <c r="A11" s="3" t="s">
        <v>12</v>
      </c>
      <c r="B11" s="4">
        <v>11300</v>
      </c>
    </row>
    <row r="12" spans="1:2" x14ac:dyDescent="0.35">
      <c r="A12" s="5" t="s">
        <v>44</v>
      </c>
      <c r="B12" s="4">
        <v>11300</v>
      </c>
    </row>
    <row r="13" spans="1:2" x14ac:dyDescent="0.35">
      <c r="A13" s="3" t="s">
        <v>15</v>
      </c>
      <c r="B13" s="4">
        <v>25850</v>
      </c>
    </row>
    <row r="14" spans="1:2" x14ac:dyDescent="0.35">
      <c r="A14" s="5" t="s">
        <v>47</v>
      </c>
      <c r="B14" s="4">
        <v>25400</v>
      </c>
    </row>
    <row r="15" spans="1:2" x14ac:dyDescent="0.35">
      <c r="A15" s="5" t="s">
        <v>45</v>
      </c>
      <c r="B15" s="4">
        <v>450</v>
      </c>
    </row>
    <row r="16" spans="1:2" x14ac:dyDescent="0.35">
      <c r="A16" s="3" t="s">
        <v>52</v>
      </c>
      <c r="B16" s="4">
        <v>55070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6C97-BF8F-429C-B454-E3FFAD9AF264}">
  <dimension ref="A1:C4"/>
  <sheetViews>
    <sheetView workbookViewId="0">
      <selection activeCell="B1" sqref="B1"/>
    </sheetView>
  </sheetViews>
  <sheetFormatPr defaultRowHeight="14.5" x14ac:dyDescent="0.35"/>
  <cols>
    <col min="1" max="1" width="17" customWidth="1"/>
    <col min="2" max="2" width="18.7265625" customWidth="1"/>
    <col min="3" max="3" width="22.632812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6</v>
      </c>
      <c r="C2">
        <v>25000</v>
      </c>
    </row>
    <row r="3" spans="1:3" x14ac:dyDescent="0.35">
      <c r="A3" t="s">
        <v>4</v>
      </c>
      <c r="B3" t="s">
        <v>7</v>
      </c>
      <c r="C3">
        <v>18000</v>
      </c>
    </row>
    <row r="4" spans="1:3" x14ac:dyDescent="0.35">
      <c r="A4" t="s">
        <v>5</v>
      </c>
      <c r="B4" t="s">
        <v>8</v>
      </c>
      <c r="C4">
        <v>12000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4A0FF-B6DC-4B48-8B5A-D86113F4B1C5}">
  <dimension ref="A1:C5"/>
  <sheetViews>
    <sheetView workbookViewId="0">
      <selection activeCell="A6" sqref="A6"/>
    </sheetView>
  </sheetViews>
  <sheetFormatPr defaultRowHeight="14.5" x14ac:dyDescent="0.35"/>
  <cols>
    <col min="1" max="1" width="15" customWidth="1"/>
    <col min="2" max="2" width="20" customWidth="1"/>
    <col min="3" max="3" width="18.6328125" customWidth="1"/>
  </cols>
  <sheetData>
    <row r="1" spans="1:3" x14ac:dyDescent="0.35">
      <c r="A1" t="s">
        <v>9</v>
      </c>
      <c r="B1" t="s">
        <v>10</v>
      </c>
      <c r="C1" t="s">
        <v>11</v>
      </c>
    </row>
    <row r="2" spans="1:3" x14ac:dyDescent="0.35">
      <c r="A2" t="s">
        <v>40</v>
      </c>
      <c r="B2" t="s">
        <v>12</v>
      </c>
      <c r="C2" t="s">
        <v>16</v>
      </c>
    </row>
    <row r="3" spans="1:3" x14ac:dyDescent="0.35">
      <c r="A3" t="s">
        <v>41</v>
      </c>
      <c r="B3" t="s">
        <v>13</v>
      </c>
      <c r="C3" t="s">
        <v>17</v>
      </c>
    </row>
    <row r="4" spans="1:3" x14ac:dyDescent="0.35">
      <c r="A4" t="s">
        <v>42</v>
      </c>
      <c r="B4" t="s">
        <v>14</v>
      </c>
      <c r="C4" t="s">
        <v>16</v>
      </c>
    </row>
    <row r="5" spans="1:3" x14ac:dyDescent="0.35">
      <c r="A5" t="s">
        <v>43</v>
      </c>
      <c r="B5" t="s">
        <v>15</v>
      </c>
      <c r="C5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E2561-BDA7-4572-AFC0-8BD4D00902BD}">
  <dimension ref="A1:M16"/>
  <sheetViews>
    <sheetView zoomScale="83" workbookViewId="0">
      <selection activeCell="J2" sqref="A1:M16"/>
    </sheetView>
  </sheetViews>
  <sheetFormatPr defaultRowHeight="14.5" x14ac:dyDescent="0.35"/>
  <cols>
    <col min="1" max="1" width="15.6328125" customWidth="1"/>
    <col min="2" max="2" width="20.36328125" customWidth="1"/>
    <col min="3" max="3" width="17.453125" customWidth="1"/>
    <col min="4" max="4" width="12.7265625" customWidth="1"/>
    <col min="5" max="5" width="14.08984375" customWidth="1"/>
    <col min="6" max="6" width="16.54296875" customWidth="1"/>
    <col min="7" max="7" width="13.7265625" customWidth="1"/>
    <col min="8" max="8" width="16.90625" customWidth="1"/>
    <col min="9" max="9" width="17.54296875" customWidth="1"/>
    <col min="10" max="10" width="15.36328125" customWidth="1"/>
    <col min="11" max="11" width="14.08984375" customWidth="1"/>
    <col min="12" max="12" width="20.36328125" customWidth="1"/>
  </cols>
  <sheetData>
    <row r="1" spans="1:13" x14ac:dyDescent="0.35">
      <c r="A1" t="s">
        <v>19</v>
      </c>
      <c r="B1" t="s">
        <v>0</v>
      </c>
      <c r="C1" t="s">
        <v>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10</v>
      </c>
      <c r="J1" t="s">
        <v>1</v>
      </c>
      <c r="K1" t="s">
        <v>49</v>
      </c>
      <c r="L1" t="s">
        <v>48</v>
      </c>
      <c r="M1" t="s">
        <v>50</v>
      </c>
    </row>
    <row r="2" spans="1:13" x14ac:dyDescent="0.35">
      <c r="A2" t="s">
        <v>25</v>
      </c>
      <c r="B2" t="s">
        <v>3</v>
      </c>
      <c r="C2" t="s">
        <v>40</v>
      </c>
      <c r="D2" s="1">
        <v>46143</v>
      </c>
      <c r="E2" s="1">
        <v>46144</v>
      </c>
      <c r="F2">
        <v>4500</v>
      </c>
      <c r="G2" t="s">
        <v>44</v>
      </c>
      <c r="H2">
        <v>15</v>
      </c>
      <c r="I2" t="str">
        <f>IFERROR(_xlfn.XLOOKUP(C2, dim_merchants!A:A, dim_merchants!B:B), "")</f>
        <v>Jarir Express</v>
      </c>
      <c r="J2" t="str">
        <f>IFERROR(_xlfn.XLOOKUP(B2, dim_hubs!A:A, dim_hubs!B:B), "")</f>
        <v>Riyadh</v>
      </c>
      <c r="K2" t="str">
        <f>TRIM(C2)</f>
        <v>MCH-101</v>
      </c>
      <c r="L2">
        <f>NETWORKDAYS(D2, E2)</f>
        <v>1</v>
      </c>
      <c r="M2" t="str" cm="1">
        <f t="array" ref="M2">_xlfn.IFS(L2&lt;=1, "Instant", L2&lt;=3, "Standard", L2&gt;3, "Delayed")</f>
        <v>Instant</v>
      </c>
    </row>
    <row r="3" spans="1:13" x14ac:dyDescent="0.35">
      <c r="A3" t="s">
        <v>26</v>
      </c>
      <c r="B3" t="s">
        <v>3</v>
      </c>
      <c r="C3" t="s">
        <v>41</v>
      </c>
      <c r="D3" s="1">
        <v>46143</v>
      </c>
      <c r="E3" s="1">
        <v>46146</v>
      </c>
      <c r="F3">
        <v>350</v>
      </c>
      <c r="G3" t="s">
        <v>45</v>
      </c>
      <c r="H3">
        <v>3.5</v>
      </c>
      <c r="I3" t="str">
        <f>IFERROR(_xlfn.XLOOKUP(C3, dim_merchants!A:A, dim_merchants!B:B), "")</f>
        <v>Almarai Digital</v>
      </c>
      <c r="J3" t="str">
        <f>IFERROR(_xlfn.XLOOKUP(B3, dim_hubs!A:A, dim_hubs!B:B), "")</f>
        <v>Riyadh</v>
      </c>
      <c r="K3" t="str">
        <f t="shared" ref="K3:K16" si="0">TRIM(C3)</f>
        <v>MCH-102</v>
      </c>
      <c r="L3">
        <f t="shared" ref="L3:L16" si="1">NETWORKDAYS(D3, E3)</f>
        <v>2</v>
      </c>
      <c r="M3" t="str" cm="1">
        <f t="array" ref="M3">_xlfn.IFS(L3&lt;=1, "Instant", L3&lt;=3, "Standard", L3&gt;3, "Delayed")</f>
        <v>Standard</v>
      </c>
    </row>
    <row r="4" spans="1:13" x14ac:dyDescent="0.35">
      <c r="A4" t="s">
        <v>27</v>
      </c>
      <c r="B4" t="s">
        <v>3</v>
      </c>
      <c r="C4" t="s">
        <v>42</v>
      </c>
      <c r="D4" s="1">
        <v>46144</v>
      </c>
      <c r="E4" s="1">
        <v>46144</v>
      </c>
      <c r="F4">
        <v>1200</v>
      </c>
      <c r="G4" t="s">
        <v>46</v>
      </c>
      <c r="H4">
        <v>6</v>
      </c>
      <c r="I4" t="str">
        <f>IFERROR(_xlfn.XLOOKUP(C4, dim_merchants!A:A, dim_merchants!B:B), "")</f>
        <v>Extra Direct</v>
      </c>
      <c r="J4" t="str">
        <f>IFERROR(_xlfn.XLOOKUP(B4, dim_hubs!A:A, dim_hubs!B:B), "")</f>
        <v>Riyadh</v>
      </c>
      <c r="K4" t="str">
        <f t="shared" si="0"/>
        <v>MCH-103</v>
      </c>
      <c r="L4">
        <f t="shared" si="1"/>
        <v>0</v>
      </c>
      <c r="M4" t="str" cm="1">
        <f t="array" ref="M4">_xlfn.IFS(L4&lt;=1, "Instant", L4&lt;=3, "Standard", L4&gt;3, "Delayed")</f>
        <v>Instant</v>
      </c>
    </row>
    <row r="5" spans="1:13" x14ac:dyDescent="0.35">
      <c r="A5" t="s">
        <v>28</v>
      </c>
      <c r="B5" t="s">
        <v>3</v>
      </c>
      <c r="C5" t="s">
        <v>43</v>
      </c>
      <c r="D5" s="1">
        <v>46144</v>
      </c>
      <c r="E5" s="1">
        <v>46147</v>
      </c>
      <c r="F5">
        <v>8900</v>
      </c>
      <c r="G5" t="s">
        <v>47</v>
      </c>
      <c r="H5">
        <v>178</v>
      </c>
      <c r="I5" t="str">
        <f>IFERROR(_xlfn.XLOOKUP(C5, dim_merchants!A:A, dim_merchants!B:B), "")</f>
        <v>Whites Pharmacy</v>
      </c>
      <c r="J5" t="str">
        <f>IFERROR(_xlfn.XLOOKUP(B5, dim_hubs!A:A, dim_hubs!B:B), "")</f>
        <v>Riyadh</v>
      </c>
      <c r="K5" t="str">
        <f t="shared" si="0"/>
        <v>MCH-104</v>
      </c>
      <c r="L5">
        <f t="shared" si="1"/>
        <v>2</v>
      </c>
      <c r="M5" t="str" cm="1">
        <f t="array" ref="M5">_xlfn.IFS(L5&lt;=1, "Instant", L5&lt;=3, "Standard", L5&gt;3, "Delayed")</f>
        <v>Standard</v>
      </c>
    </row>
    <row r="6" spans="1:13" x14ac:dyDescent="0.35">
      <c r="A6" t="s">
        <v>29</v>
      </c>
      <c r="B6" t="s">
        <v>4</v>
      </c>
      <c r="C6" t="s">
        <v>40</v>
      </c>
      <c r="D6" s="1">
        <v>46145</v>
      </c>
      <c r="E6" s="1">
        <v>46146</v>
      </c>
      <c r="F6">
        <v>1500</v>
      </c>
      <c r="G6" t="s">
        <v>44</v>
      </c>
      <c r="H6">
        <v>5</v>
      </c>
      <c r="I6" t="str">
        <f>IFERROR(_xlfn.XLOOKUP(C6, dim_merchants!A:A, dim_merchants!B:B), "")</f>
        <v>Jarir Express</v>
      </c>
      <c r="J6" t="str">
        <f>IFERROR(_xlfn.XLOOKUP(B6, dim_hubs!A:A, dim_hubs!B:B), "")</f>
        <v>Jeddah</v>
      </c>
      <c r="K6" t="str">
        <f t="shared" si="0"/>
        <v>MCH-101</v>
      </c>
      <c r="L6">
        <f t="shared" si="1"/>
        <v>1</v>
      </c>
      <c r="M6" t="str" cm="1">
        <f t="array" ref="M6">_xlfn.IFS(L6&lt;=1, "Instant", L6&lt;=3, "Standard", L6&gt;3, "Delayed")</f>
        <v>Instant</v>
      </c>
    </row>
    <row r="7" spans="1:13" x14ac:dyDescent="0.35">
      <c r="A7" t="s">
        <v>30</v>
      </c>
      <c r="B7" t="s">
        <v>4</v>
      </c>
      <c r="C7" t="s">
        <v>41</v>
      </c>
      <c r="D7" s="1">
        <v>46146</v>
      </c>
      <c r="E7" s="1">
        <v>46150</v>
      </c>
      <c r="F7">
        <v>620</v>
      </c>
      <c r="G7" t="s">
        <v>46</v>
      </c>
      <c r="H7">
        <v>3.1</v>
      </c>
      <c r="I7" t="str">
        <f>IFERROR(_xlfn.XLOOKUP(C7, dim_merchants!A:A, dim_merchants!B:B), "")</f>
        <v>Almarai Digital</v>
      </c>
      <c r="J7" t="str">
        <f>IFERROR(_xlfn.XLOOKUP(B7, dim_hubs!A:A, dim_hubs!B:B), "")</f>
        <v>Jeddah</v>
      </c>
      <c r="K7" t="str">
        <f t="shared" si="0"/>
        <v>MCH-102</v>
      </c>
      <c r="L7">
        <f t="shared" si="1"/>
        <v>5</v>
      </c>
      <c r="M7" t="str" cm="1">
        <f t="array" ref="M7">_xlfn.IFS(L7&lt;=1, "Instant", L7&lt;=3, "Standard", L7&gt;3, "Delayed")</f>
        <v>Delayed</v>
      </c>
    </row>
    <row r="8" spans="1:13" x14ac:dyDescent="0.35">
      <c r="A8" t="s">
        <v>31</v>
      </c>
      <c r="B8" t="s">
        <v>4</v>
      </c>
      <c r="C8" t="s">
        <v>42</v>
      </c>
      <c r="D8" s="1">
        <v>46147</v>
      </c>
      <c r="E8" s="1">
        <v>46148</v>
      </c>
      <c r="F8">
        <v>12500</v>
      </c>
      <c r="G8" t="s">
        <v>47</v>
      </c>
      <c r="H8">
        <v>250</v>
      </c>
      <c r="I8" t="str">
        <f>IFERROR(_xlfn.XLOOKUP(C8, dim_merchants!A:A, dim_merchants!B:B), "")</f>
        <v>Extra Direct</v>
      </c>
      <c r="J8" t="str">
        <f>IFERROR(_xlfn.XLOOKUP(B8, dim_hubs!A:A, dim_hubs!B:B), "")</f>
        <v>Jeddah</v>
      </c>
      <c r="K8" t="str">
        <f t="shared" si="0"/>
        <v>MCH-103</v>
      </c>
      <c r="L8">
        <f t="shared" si="1"/>
        <v>2</v>
      </c>
      <c r="M8" t="str" cm="1">
        <f t="array" ref="M8">_xlfn.IFS(L8&lt;=1, "Instant", L8&lt;=3, "Standard", L8&gt;3, "Delayed")</f>
        <v>Standard</v>
      </c>
    </row>
    <row r="9" spans="1:13" x14ac:dyDescent="0.35">
      <c r="A9" t="s">
        <v>32</v>
      </c>
      <c r="B9" t="s">
        <v>5</v>
      </c>
      <c r="C9" t="s">
        <v>43</v>
      </c>
      <c r="D9" s="1">
        <v>46147</v>
      </c>
      <c r="E9" s="1">
        <v>46151</v>
      </c>
      <c r="F9">
        <v>450</v>
      </c>
      <c r="G9" t="s">
        <v>45</v>
      </c>
      <c r="H9">
        <v>4.5</v>
      </c>
      <c r="I9" t="str">
        <f>IFERROR(_xlfn.XLOOKUP(C9, dim_merchants!A:A, dim_merchants!B:B), "")</f>
        <v>Whites Pharmacy</v>
      </c>
      <c r="J9" t="str">
        <f>IFERROR(_xlfn.XLOOKUP(B9, dim_hubs!A:A, dim_hubs!B:B), "")</f>
        <v>Dammam</v>
      </c>
      <c r="K9" t="str">
        <f t="shared" si="0"/>
        <v>MCH-104</v>
      </c>
      <c r="L9">
        <f t="shared" si="1"/>
        <v>4</v>
      </c>
      <c r="M9" t="str" cm="1">
        <f t="array" ref="M9">_xlfn.IFS(L9&lt;=1, "Instant", L9&lt;=3, "Standard", L9&gt;3, "Delayed")</f>
        <v>Delayed</v>
      </c>
    </row>
    <row r="10" spans="1:13" x14ac:dyDescent="0.35">
      <c r="A10" t="s">
        <v>33</v>
      </c>
      <c r="B10" t="s">
        <v>5</v>
      </c>
      <c r="C10" t="s">
        <v>40</v>
      </c>
      <c r="D10" s="1">
        <v>46148</v>
      </c>
      <c r="E10" s="1">
        <v>46149</v>
      </c>
      <c r="F10">
        <v>3200</v>
      </c>
      <c r="G10" t="s">
        <v>44</v>
      </c>
      <c r="H10">
        <v>10</v>
      </c>
      <c r="I10" t="str">
        <f>IFERROR(_xlfn.XLOOKUP(C10, dim_merchants!A:A, dim_merchants!B:B), "")</f>
        <v>Jarir Express</v>
      </c>
      <c r="J10" t="str">
        <f>IFERROR(_xlfn.XLOOKUP(B10, dim_hubs!A:A, dim_hubs!B:B), "")</f>
        <v>Dammam</v>
      </c>
      <c r="K10" t="str">
        <f t="shared" si="0"/>
        <v>MCH-101</v>
      </c>
      <c r="L10">
        <f t="shared" si="1"/>
        <v>2</v>
      </c>
      <c r="M10" t="str" cm="1">
        <f t="array" ref="M10">_xlfn.IFS(L10&lt;=1, "Instant", L10&lt;=3, "Standard", L10&gt;3, "Delayed")</f>
        <v>Standard</v>
      </c>
    </row>
    <row r="11" spans="1:13" x14ac:dyDescent="0.35">
      <c r="A11" t="s">
        <v>34</v>
      </c>
      <c r="B11" t="s">
        <v>5</v>
      </c>
      <c r="C11" t="s">
        <v>41</v>
      </c>
      <c r="D11" s="1">
        <v>46149</v>
      </c>
      <c r="E11" s="1">
        <v>46149</v>
      </c>
      <c r="F11">
        <v>850</v>
      </c>
      <c r="G11" t="s">
        <v>46</v>
      </c>
      <c r="H11">
        <v>4.25</v>
      </c>
      <c r="I11" t="str">
        <f>IFERROR(_xlfn.XLOOKUP(C11, dim_merchants!A:A, dim_merchants!B:B), "")</f>
        <v>Almarai Digital</v>
      </c>
      <c r="J11" t="str">
        <f>IFERROR(_xlfn.XLOOKUP(B11, dim_hubs!A:A, dim_hubs!B:B), "")</f>
        <v>Dammam</v>
      </c>
      <c r="K11" t="str">
        <f t="shared" si="0"/>
        <v>MCH-102</v>
      </c>
      <c r="L11">
        <f t="shared" si="1"/>
        <v>1</v>
      </c>
      <c r="M11" t="str" cm="1">
        <f t="array" ref="M11">_xlfn.IFS(L11&lt;=1, "Instant", L11&lt;=3, "Standard", L11&gt;3, "Delayed")</f>
        <v>Instant</v>
      </c>
    </row>
    <row r="12" spans="1:13" x14ac:dyDescent="0.35">
      <c r="A12" t="s">
        <v>35</v>
      </c>
      <c r="B12" t="s">
        <v>5</v>
      </c>
      <c r="C12" t="s">
        <v>42</v>
      </c>
      <c r="D12" s="1">
        <v>46150</v>
      </c>
      <c r="E12" s="1">
        <v>46154</v>
      </c>
      <c r="F12">
        <v>1100</v>
      </c>
      <c r="G12" t="s">
        <v>45</v>
      </c>
      <c r="H12">
        <v>11</v>
      </c>
      <c r="I12" t="str">
        <f>IFERROR(_xlfn.XLOOKUP(C12, dim_merchants!A:A, dim_merchants!B:B), "")</f>
        <v>Extra Direct</v>
      </c>
      <c r="J12" t="str">
        <f>IFERROR(_xlfn.XLOOKUP(B12, dim_hubs!A:A, dim_hubs!B:B), "")</f>
        <v>Dammam</v>
      </c>
      <c r="K12" t="str">
        <f t="shared" si="0"/>
        <v>MCH-103</v>
      </c>
      <c r="L12">
        <f t="shared" si="1"/>
        <v>3</v>
      </c>
      <c r="M12" t="str" cm="1">
        <f t="array" ref="M12">_xlfn.IFS(L12&lt;=1, "Instant", L12&lt;=3, "Standard", L12&gt;3, "Delayed")</f>
        <v>Standard</v>
      </c>
    </row>
    <row r="13" spans="1:13" x14ac:dyDescent="0.35">
      <c r="A13" t="s">
        <v>36</v>
      </c>
      <c r="B13" t="s">
        <v>5</v>
      </c>
      <c r="C13" t="s">
        <v>43</v>
      </c>
      <c r="D13" s="1">
        <v>46151</v>
      </c>
      <c r="E13" s="1">
        <v>46153</v>
      </c>
      <c r="F13">
        <v>16500</v>
      </c>
      <c r="G13" t="s">
        <v>47</v>
      </c>
      <c r="H13">
        <v>330</v>
      </c>
      <c r="I13" t="str">
        <f>IFERROR(_xlfn.XLOOKUP(C13, dim_merchants!A:A, dim_merchants!B:B), "")</f>
        <v>Whites Pharmacy</v>
      </c>
      <c r="J13" t="str">
        <f>IFERROR(_xlfn.XLOOKUP(B13, dim_hubs!A:A, dim_hubs!B:B), "")</f>
        <v>Dammam</v>
      </c>
      <c r="K13" t="str">
        <f t="shared" si="0"/>
        <v>MCH-104</v>
      </c>
      <c r="L13">
        <f t="shared" si="1"/>
        <v>1</v>
      </c>
      <c r="M13" t="str" cm="1">
        <f t="array" ref="M13">_xlfn.IFS(L13&lt;=1, "Instant", L13&lt;=3, "Standard", L13&gt;3, "Delayed")</f>
        <v>Instant</v>
      </c>
    </row>
    <row r="14" spans="1:13" x14ac:dyDescent="0.35">
      <c r="A14" t="s">
        <v>37</v>
      </c>
      <c r="B14" t="s">
        <v>3</v>
      </c>
      <c r="C14" t="s">
        <v>40</v>
      </c>
      <c r="D14" s="1">
        <v>46152</v>
      </c>
      <c r="E14" s="1">
        <v>46153</v>
      </c>
      <c r="F14">
        <v>2100</v>
      </c>
      <c r="G14" t="s">
        <v>44</v>
      </c>
      <c r="H14">
        <v>7</v>
      </c>
      <c r="I14" t="str">
        <f>IFERROR(_xlfn.XLOOKUP(C14, dim_merchants!A:A, dim_merchants!B:B), "")</f>
        <v>Jarir Express</v>
      </c>
      <c r="J14" t="str">
        <f>IFERROR(_xlfn.XLOOKUP(B14, dim_hubs!A:A, dim_hubs!B:B), "")</f>
        <v>Riyadh</v>
      </c>
      <c r="K14" t="str">
        <f t="shared" si="0"/>
        <v>MCH-101</v>
      </c>
      <c r="L14">
        <f t="shared" si="1"/>
        <v>1</v>
      </c>
      <c r="M14" t="str" cm="1">
        <f t="array" ref="M14">_xlfn.IFS(L14&lt;=1, "Instant", L14&lt;=3, "Standard", L14&gt;3, "Delayed")</f>
        <v>Instant</v>
      </c>
    </row>
    <row r="15" spans="1:13" x14ac:dyDescent="0.35">
      <c r="A15" t="s">
        <v>38</v>
      </c>
      <c r="B15" t="s">
        <v>4</v>
      </c>
      <c r="C15" t="s">
        <v>41</v>
      </c>
      <c r="D15" s="1">
        <v>46153</v>
      </c>
      <c r="E15" s="1">
        <v>46153</v>
      </c>
      <c r="F15">
        <v>320</v>
      </c>
      <c r="G15" t="s">
        <v>46</v>
      </c>
      <c r="H15">
        <v>1.6</v>
      </c>
      <c r="I15" t="str">
        <f>IFERROR(_xlfn.XLOOKUP(C15, dim_merchants!A:A, dim_merchants!B:B), "")</f>
        <v>Almarai Digital</v>
      </c>
      <c r="J15" t="str">
        <f>IFERROR(_xlfn.XLOOKUP(B15, dim_hubs!A:A, dim_hubs!B:B), "")</f>
        <v>Jeddah</v>
      </c>
      <c r="K15" t="str">
        <f t="shared" si="0"/>
        <v>MCH-102</v>
      </c>
      <c r="L15">
        <f t="shared" si="1"/>
        <v>1</v>
      </c>
      <c r="M15" t="str" cm="1">
        <f t="array" ref="M15">_xlfn.IFS(L15&lt;=1, "Instant", L15&lt;=3, "Standard", L15&gt;3, "Delayed")</f>
        <v>Instant</v>
      </c>
    </row>
    <row r="16" spans="1:13" x14ac:dyDescent="0.35">
      <c r="A16" t="s">
        <v>39</v>
      </c>
      <c r="B16" t="s">
        <v>5</v>
      </c>
      <c r="C16" t="s">
        <v>42</v>
      </c>
      <c r="D16" s="1">
        <v>46154</v>
      </c>
      <c r="E16" s="1">
        <v>46158</v>
      </c>
      <c r="F16">
        <v>980</v>
      </c>
      <c r="G16" t="s">
        <v>45</v>
      </c>
      <c r="H16">
        <v>9.8000000000000007</v>
      </c>
      <c r="I16" t="str">
        <f>IFERROR(_xlfn.XLOOKUP(C16, dim_merchants!A:A, dim_merchants!B:B), "")</f>
        <v>Extra Direct</v>
      </c>
      <c r="J16" t="str">
        <f>IFERROR(_xlfn.XLOOKUP(B16, dim_hubs!A:A, dim_hubs!B:B), "")</f>
        <v>Dammam</v>
      </c>
      <c r="K16" t="str">
        <f t="shared" si="0"/>
        <v>MCH-103</v>
      </c>
      <c r="L16">
        <f t="shared" si="1"/>
        <v>4</v>
      </c>
      <c r="M16" t="str" cm="1">
        <f t="array" ref="M16">_xlfn.IFS(L16&lt;=1, "Instant", L16&lt;=3, "Standard", L16&gt;3, "Delayed")</f>
        <v>Delayed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dim_hubs</vt:lpstr>
      <vt:lpstr>dim_merchants</vt:lpstr>
      <vt:lpstr>fact_transactions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2026-06-01T15:23:47Z</dcterms:created>
  <dcterms:modified xsi:type="dcterms:W3CDTF">2026-06-03T07:54:47Z</dcterms:modified>
</cp:coreProperties>
</file>