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16F20D9-3708-4921-A9B1-6E51ED347CE9}" xr6:coauthVersionLast="47" xr6:coauthVersionMax="47" xr10:uidLastSave="{00000000-0000-0000-0000-000000000000}"/>
  <bookViews>
    <workbookView xWindow="-110" yWindow="-110" windowWidth="19420" windowHeight="11020" activeTab="2" xr2:uid="{4CC19BD8-5751-47E3-AAEC-6FE0067FEF18}"/>
  </bookViews>
  <sheets>
    <sheet name="dim_hubs" sheetId="1" r:id="rId1"/>
    <sheet name="dim_merchants" sheetId="2" r:id="rId2"/>
    <sheet name="fact_transac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2" i="3"/>
  <c r="J2" i="3"/>
  <c r="J3" i="3"/>
  <c r="J4" i="3"/>
  <c r="J5" i="3"/>
  <c r="L3" i="3" a="1"/>
  <c r="L3" i="3"/>
  <c r="L4" i="3" a="1"/>
  <c r="L4" i="3"/>
  <c r="L5" i="3" a="1"/>
  <c r="L5" i="3"/>
  <c r="L6" i="3" a="1"/>
  <c r="L6" i="3"/>
  <c r="L7" i="3" a="1"/>
  <c r="L7" i="3"/>
  <c r="L8" i="3" a="1"/>
  <c r="L8" i="3"/>
  <c r="L9" i="3" a="1"/>
  <c r="L9" i="3"/>
  <c r="L10" i="3" a="1"/>
  <c r="L10" i="3"/>
  <c r="L11" i="3" a="1"/>
  <c r="L11" i="3"/>
  <c r="L12" i="3" a="1"/>
  <c r="L12" i="3"/>
  <c r="L13" i="3" a="1"/>
  <c r="L13" i="3"/>
  <c r="L14" i="3" a="1"/>
  <c r="L14" i="3"/>
  <c r="L15" i="3" a="1"/>
  <c r="L15" i="3"/>
  <c r="L16" i="3" a="1"/>
  <c r="L16" i="3"/>
  <c r="L2" i="3" a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2" i="3"/>
  <c r="J6" i="3"/>
  <c r="J7" i="3"/>
  <c r="J8" i="3"/>
  <c r="J9" i="3"/>
  <c r="J10" i="3"/>
  <c r="J11" i="3"/>
  <c r="J12" i="3"/>
  <c r="J13" i="3"/>
  <c r="J14" i="3"/>
  <c r="J15" i="3"/>
  <c r="J16" i="3"/>
  <c r="L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<sst xmlns="http://schemas.openxmlformats.org/spreadsheetml/2006/main" count="96" uniqueCount="51">
  <si>
    <t>Hub_ID</t>
  </si>
  <si>
    <t>Region_City</t>
  </si>
  <si>
    <t>Warehouse_Capacity_Sqm</t>
  </si>
  <si>
    <t>HUB-01</t>
  </si>
  <si>
    <t>HUB-02</t>
  </si>
  <si>
    <t>HUB-03</t>
  </si>
  <si>
    <t>Riyadh</t>
  </si>
  <si>
    <t>Jeddah</t>
  </si>
  <si>
    <t>Dammam</t>
  </si>
  <si>
    <t>Merchant_ID</t>
  </si>
  <si>
    <t>Merchant_Name</t>
  </si>
  <si>
    <t>Category</t>
  </si>
  <si>
    <t>Jarir Express</t>
  </si>
  <si>
    <t>Almarai Digital</t>
  </si>
  <si>
    <t>Extra Direct</t>
  </si>
  <si>
    <t>Whites Pharmacy</t>
  </si>
  <si>
    <t>Electronics</t>
  </si>
  <si>
    <t>Groceries</t>
  </si>
  <si>
    <t>Health</t>
  </si>
  <si>
    <t>Transaction_ID</t>
  </si>
  <si>
    <t>Order_Date</t>
  </si>
  <si>
    <t>Delivery_Date</t>
  </si>
  <si>
    <t>Gross_Volume_SAR</t>
  </si>
  <si>
    <t>Payment_Type</t>
  </si>
  <si>
    <t>Gateway_Fee_SAR</t>
  </si>
  <si>
    <t>TN-901</t>
  </si>
  <si>
    <t>TN-902</t>
  </si>
  <si>
    <t>TN-903</t>
  </si>
  <si>
    <t>TN-904</t>
  </si>
  <si>
    <t>TN-905</t>
  </si>
  <si>
    <t>TN-906</t>
  </si>
  <si>
    <t>TN-907</t>
  </si>
  <si>
    <t>TN-908</t>
  </si>
  <si>
    <t>TN-909</t>
  </si>
  <si>
    <t>TN-910</t>
  </si>
  <si>
    <t>TN-911</t>
  </si>
  <si>
    <t>TN-912</t>
  </si>
  <si>
    <t>TN-913</t>
  </si>
  <si>
    <t>TN-914</t>
  </si>
  <si>
    <t>TN-915</t>
  </si>
  <si>
    <t>MCH-101</t>
  </si>
  <si>
    <t>MCH-102</t>
  </si>
  <si>
    <t>MCH-103</t>
  </si>
  <si>
    <t>MCH-104</t>
  </si>
  <si>
    <t>Mada</t>
  </si>
  <si>
    <t>STC Pay</t>
  </si>
  <si>
    <t>Apple Pay</t>
  </si>
  <si>
    <t>Credit Card</t>
  </si>
  <si>
    <t>Network_Days</t>
  </si>
  <si>
    <t>Trim</t>
  </si>
  <si>
    <t>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</si>
</sst>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6C97-BF8F-429C-B454-E3FFAD9AF264}">
  <dimension ref="A1:C4"/>
  <sheetViews>
    <sheetView workbookViewId="0">
      <selection activeCell="C1" sqref="C1"/>
    </sheetView>
  </sheetViews>
  <sheetFormatPr defaultRowHeight="14.5" x14ac:dyDescent="0.35"/>
  <cols>
    <col min="1" max="1" width="17" customWidth="1"/>
    <col min="2" max="2" width="18.7265625" customWidth="1"/>
    <col min="3" max="3" width="22.632812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6</v>
      </c>
      <c r="C2">
        <v>25000</v>
      </c>
    </row>
    <row r="3" spans="1:3" x14ac:dyDescent="0.35">
      <c r="A3" t="s">
        <v>4</v>
      </c>
      <c r="B3" t="s">
        <v>7</v>
      </c>
      <c r="C3">
        <v>18000</v>
      </c>
    </row>
    <row r="4" spans="1:3" x14ac:dyDescent="0.35">
      <c r="A4" t="s">
        <v>5</v>
      </c>
      <c r="B4" t="s">
        <v>8</v>
      </c>
      <c r="C4">
        <v>12000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4A0FF-B6DC-4B48-8B5A-D86113F4B1C5}">
  <dimension ref="A1:C5"/>
  <sheetViews>
    <sheetView workbookViewId="0">
      <selection activeCell="A6" sqref="A6"/>
    </sheetView>
  </sheetViews>
  <sheetFormatPr defaultRowHeight="14.5" x14ac:dyDescent="0.35"/>
  <cols>
    <col min="1" max="1" width="15" customWidth="1"/>
    <col min="2" max="2" width="20" customWidth="1"/>
    <col min="3" max="3" width="18.6328125" customWidth="1"/>
  </cols>
  <sheetData>
    <row r="1" spans="1:3" x14ac:dyDescent="0.35">
      <c r="A1" t="s">
        <v>9</v>
      </c>
      <c r="B1" t="s">
        <v>10</v>
      </c>
      <c r="C1" t="s">
        <v>11</v>
      </c>
    </row>
    <row r="2" spans="1:3" x14ac:dyDescent="0.35">
      <c r="A2" t="s">
        <v>40</v>
      </c>
      <c r="B2" t="s">
        <v>12</v>
      </c>
      <c r="C2" t="s">
        <v>16</v>
      </c>
    </row>
    <row r="3" spans="1:3" x14ac:dyDescent="0.35">
      <c r="A3" t="s">
        <v>41</v>
      </c>
      <c r="B3" t="s">
        <v>13</v>
      </c>
      <c r="C3" t="s">
        <v>17</v>
      </c>
    </row>
    <row r="4" spans="1:3" x14ac:dyDescent="0.35">
      <c r="A4" t="s">
        <v>42</v>
      </c>
      <c r="B4" t="s">
        <v>14</v>
      </c>
      <c r="C4" t="s">
        <v>16</v>
      </c>
    </row>
    <row r="5" spans="1:3" x14ac:dyDescent="0.35">
      <c r="A5" t="s">
        <v>43</v>
      </c>
      <c r="B5" t="s">
        <v>15</v>
      </c>
      <c r="C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E2561-BDA7-4572-AFC0-8BD4D00902BD}">
  <dimension ref="A1:L16"/>
  <sheetViews>
    <sheetView tabSelected="1" zoomScale="83" workbookViewId="0">
      <selection activeCell="E18" sqref="E18"/>
    </sheetView>
  </sheetViews>
  <sheetFormatPr defaultRowHeight="14.5" x14ac:dyDescent="0.35"/>
  <cols>
    <col min="1" max="1" width="15.6328125" customWidth="1"/>
    <col min="2" max="2" width="20.36328125" customWidth="1"/>
    <col min="3" max="3" width="17.453125" customWidth="1"/>
    <col min="4" max="4" width="12.7265625" customWidth="1"/>
    <col min="5" max="5" width="14.08984375" customWidth="1"/>
    <col min="6" max="6" width="16.54296875" customWidth="1"/>
    <col min="7" max="7" width="13.7265625" customWidth="1"/>
    <col min="8" max="8" width="16.90625" customWidth="1"/>
    <col min="9" max="9" width="17.54296875" customWidth="1"/>
    <col min="10" max="10" width="15.36328125" customWidth="1"/>
    <col min="11" max="11" width="14.08984375" customWidth="1"/>
    <col min="12" max="12" width="20.36328125" customWidth="1"/>
  </cols>
  <sheetData>
    <row r="1" spans="1:12" x14ac:dyDescent="0.35">
      <c r="A1" t="s">
        <v>19</v>
      </c>
      <c r="B1" t="s">
        <v>0</v>
      </c>
      <c r="C1" t="s">
        <v>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10</v>
      </c>
      <c r="J1" t="s">
        <v>49</v>
      </c>
      <c r="K1" t="s">
        <v>48</v>
      </c>
      <c r="L1" t="s">
        <v>50</v>
      </c>
    </row>
    <row r="2" spans="1:12" x14ac:dyDescent="0.35">
      <c r="A2" t="s">
        <v>25</v>
      </c>
      <c r="B2" t="s">
        <v>3</v>
      </c>
      <c r="C2" t="s">
        <v>40</v>
      </c>
      <c r="D2" s="1">
        <v>46143</v>
      </c>
      <c r="E2" s="1">
        <v>46144</v>
      </c>
      <c r="F2">
        <v>4500</v>
      </c>
      <c r="G2" t="s">
        <v>44</v>
      </c>
      <c r="H2">
        <v>15</v>
      </c>
      <c r="I2" t="str">
        <f>IFERROR(_xlfn.XLOOKUP(C2, dim_merchants!A:A, dim_merchants!B:B), "")</f>
        <v>Jarir Express</v>
      </c>
      <c r="J2" t="str">
        <f>TRIM(C2)</f>
        <v>MCH-101</v>
      </c>
      <c r="K2">
        <f>NETWORKDAYS(D2, E2)</f>
        <v>1</v>
      </c>
      <c r="L2" t="str" cm="1">
        <f t="array" ref="L2">_xlfn.IFS(K2&lt;=1, "Instant", K2&lt;=3, "Standard", K2&gt;3, "Delayed")</f>
        <v>Instant</v>
      </c>
    </row>
    <row r="3" spans="1:12" x14ac:dyDescent="0.35">
      <c r="A3" t="s">
        <v>26</v>
      </c>
      <c r="B3" t="s">
        <v>3</v>
      </c>
      <c r="C3" t="s">
        <v>41</v>
      </c>
      <c r="D3" s="1">
        <v>46143</v>
      </c>
      <c r="E3" s="1">
        <v>46146</v>
      </c>
      <c r="F3">
        <v>350</v>
      </c>
      <c r="G3" t="s">
        <v>45</v>
      </c>
      <c r="H3">
        <v>3.5</v>
      </c>
      <c r="I3" t="str">
        <f>IFERROR(_xlfn.XLOOKUP(C3, dim_merchants!A:A, dim_merchants!B:B), "")</f>
        <v>Almarai Digital</v>
      </c>
      <c r="J3" t="str">
        <f t="shared" ref="J3:J16" si="0">TRIM(C3)</f>
        <v>MCH-102</v>
      </c>
      <c r="K3">
        <f t="shared" ref="K3:K16" si="1">NETWORKDAYS(D3, E3)</f>
        <v>2</v>
      </c>
      <c r="L3" t="str" cm="1">
        <f t="array" ref="L3">_xlfn.IFS(K3&lt;=1, "Instant", K3&lt;=3, "Standard", K3&gt;3, "Delayed")</f>
        <v>Standard</v>
      </c>
    </row>
    <row r="4" spans="1:12" x14ac:dyDescent="0.35">
      <c r="A4" t="s">
        <v>27</v>
      </c>
      <c r="B4" t="s">
        <v>3</v>
      </c>
      <c r="C4" t="s">
        <v>42</v>
      </c>
      <c r="D4" s="1">
        <v>46144</v>
      </c>
      <c r="E4" s="1">
        <v>46144</v>
      </c>
      <c r="F4">
        <v>1200</v>
      </c>
      <c r="G4" t="s">
        <v>46</v>
      </c>
      <c r="H4">
        <v>6</v>
      </c>
      <c r="I4" t="str">
        <f>IFERROR(_xlfn.XLOOKUP(C4, dim_merchants!A:A, dim_merchants!B:B), "")</f>
        <v>Extra Direct</v>
      </c>
      <c r="J4" t="str">
        <f t="shared" si="0"/>
        <v>MCH-103</v>
      </c>
      <c r="K4">
        <f t="shared" si="1"/>
        <v>0</v>
      </c>
      <c r="L4" t="str" cm="1">
        <f t="array" ref="L4">_xlfn.IFS(K4&lt;=1, "Instant", K4&lt;=3, "Standard", K4&gt;3, "Delayed")</f>
        <v>Instant</v>
      </c>
    </row>
    <row r="5" spans="1:12" x14ac:dyDescent="0.35">
      <c r="A5" t="s">
        <v>28</v>
      </c>
      <c r="B5" t="s">
        <v>3</v>
      </c>
      <c r="C5" t="s">
        <v>43</v>
      </c>
      <c r="D5" s="1">
        <v>46144</v>
      </c>
      <c r="E5" s="1">
        <v>46147</v>
      </c>
      <c r="F5">
        <v>8900</v>
      </c>
      <c r="G5" t="s">
        <v>47</v>
      </c>
      <c r="H5">
        <v>178</v>
      </c>
      <c r="I5" t="str">
        <f>IFERROR(_xlfn.XLOOKUP(C5, dim_merchants!A:A, dim_merchants!B:B), "")</f>
        <v>Whites Pharmacy</v>
      </c>
      <c r="J5" t="str">
        <f t="shared" si="0"/>
        <v>MCH-104</v>
      </c>
      <c r="K5">
        <f t="shared" si="1"/>
        <v>2</v>
      </c>
      <c r="L5" t="str" cm="1">
        <f t="array" ref="L5">_xlfn.IFS(K5&lt;=1, "Instant", K5&lt;=3, "Standard", K5&gt;3, "Delayed")</f>
        <v>Standard</v>
      </c>
    </row>
    <row r="6" spans="1:12" x14ac:dyDescent="0.35">
      <c r="A6" t="s">
        <v>29</v>
      </c>
      <c r="B6" t="s">
        <v>4</v>
      </c>
      <c r="C6" t="s">
        <v>40</v>
      </c>
      <c r="D6" s="1">
        <v>46145</v>
      </c>
      <c r="E6" s="1">
        <v>46146</v>
      </c>
      <c r="F6">
        <v>1500</v>
      </c>
      <c r="G6" t="s">
        <v>44</v>
      </c>
      <c r="H6">
        <v>5</v>
      </c>
      <c r="I6" t="str">
        <f>IFERROR(_xlfn.XLOOKUP(C6, dim_merchants!A:A, dim_merchants!B:B), "")</f>
        <v>Jarir Express</v>
      </c>
      <c r="J6" t="str">
        <f t="shared" si="0"/>
        <v>MCH-101</v>
      </c>
      <c r="K6">
        <f t="shared" si="1"/>
        <v>1</v>
      </c>
      <c r="L6" t="str" cm="1">
        <f t="array" ref="L6">_xlfn.IFS(K6&lt;=1, "Instant", K6&lt;=3, "Standard", K6&gt;3, "Delayed")</f>
        <v>Instant</v>
      </c>
    </row>
    <row r="7" spans="1:12" x14ac:dyDescent="0.35">
      <c r="A7" t="s">
        <v>30</v>
      </c>
      <c r="B7" t="s">
        <v>4</v>
      </c>
      <c r="C7" t="s">
        <v>41</v>
      </c>
      <c r="D7" s="1">
        <v>46146</v>
      </c>
      <c r="E7" s="1">
        <v>46150</v>
      </c>
      <c r="F7">
        <v>620</v>
      </c>
      <c r="G7" t="s">
        <v>46</v>
      </c>
      <c r="H7">
        <v>3.1</v>
      </c>
      <c r="I7" t="str">
        <f>IFERROR(_xlfn.XLOOKUP(C7, dim_merchants!A:A, dim_merchants!B:B), "")</f>
        <v>Almarai Digital</v>
      </c>
      <c r="J7" t="str">
        <f t="shared" si="0"/>
        <v>MCH-102</v>
      </c>
      <c r="K7">
        <f t="shared" si="1"/>
        <v>5</v>
      </c>
      <c r="L7" t="str" cm="1">
        <f t="array" ref="L7">_xlfn.IFS(K7&lt;=1, "Instant", K7&lt;=3, "Standard", K7&gt;3, "Delayed")</f>
        <v>Delayed</v>
      </c>
    </row>
    <row r="8" spans="1:12" x14ac:dyDescent="0.35">
      <c r="A8" t="s">
        <v>31</v>
      </c>
      <c r="B8" t="s">
        <v>4</v>
      </c>
      <c r="C8" t="s">
        <v>42</v>
      </c>
      <c r="D8" s="1">
        <v>46147</v>
      </c>
      <c r="E8" s="1">
        <v>46148</v>
      </c>
      <c r="F8">
        <v>12500</v>
      </c>
      <c r="G8" t="s">
        <v>47</v>
      </c>
      <c r="H8">
        <v>250</v>
      </c>
      <c r="I8" t="str">
        <f>IFERROR(_xlfn.XLOOKUP(C8, dim_merchants!A:A, dim_merchants!B:B), "")</f>
        <v>Extra Direct</v>
      </c>
      <c r="J8" t="str">
        <f t="shared" si="0"/>
        <v>MCH-103</v>
      </c>
      <c r="K8">
        <f t="shared" si="1"/>
        <v>2</v>
      </c>
      <c r="L8" t="str" cm="1">
        <f t="array" ref="L8">_xlfn.IFS(K8&lt;=1, "Instant", K8&lt;=3, "Standard", K8&gt;3, "Delayed")</f>
        <v>Standard</v>
      </c>
    </row>
    <row r="9" spans="1:12" x14ac:dyDescent="0.35">
      <c r="A9" t="s">
        <v>32</v>
      </c>
      <c r="B9" t="s">
        <v>5</v>
      </c>
      <c r="C9" t="s">
        <v>43</v>
      </c>
      <c r="D9" s="1">
        <v>46147</v>
      </c>
      <c r="E9" s="1">
        <v>46151</v>
      </c>
      <c r="F9">
        <v>450</v>
      </c>
      <c r="G9" t="s">
        <v>45</v>
      </c>
      <c r="H9">
        <v>4.5</v>
      </c>
      <c r="I9" t="str">
        <f>IFERROR(_xlfn.XLOOKUP(C9, dim_merchants!A:A, dim_merchants!B:B), "")</f>
        <v>Whites Pharmacy</v>
      </c>
      <c r="J9" t="str">
        <f t="shared" si="0"/>
        <v>MCH-104</v>
      </c>
      <c r="K9">
        <f t="shared" si="1"/>
        <v>4</v>
      </c>
      <c r="L9" t="str" cm="1">
        <f t="array" ref="L9">_xlfn.IFS(K9&lt;=1, "Instant", K9&lt;=3, "Standard", K9&gt;3, "Delayed")</f>
        <v>Delayed</v>
      </c>
    </row>
    <row r="10" spans="1:12" x14ac:dyDescent="0.35">
      <c r="A10" t="s">
        <v>33</v>
      </c>
      <c r="B10" t="s">
        <v>5</v>
      </c>
      <c r="C10" t="s">
        <v>40</v>
      </c>
      <c r="D10" s="1">
        <v>46148</v>
      </c>
      <c r="E10" s="1">
        <v>46149</v>
      </c>
      <c r="F10">
        <v>3200</v>
      </c>
      <c r="G10" t="s">
        <v>44</v>
      </c>
      <c r="H10">
        <v>10</v>
      </c>
      <c r="I10" t="str">
        <f>IFERROR(_xlfn.XLOOKUP(C10, dim_merchants!A:A, dim_merchants!B:B), "")</f>
        <v>Jarir Express</v>
      </c>
      <c r="J10" t="str">
        <f t="shared" si="0"/>
        <v>MCH-101</v>
      </c>
      <c r="K10">
        <f t="shared" si="1"/>
        <v>2</v>
      </c>
      <c r="L10" t="str" cm="1">
        <f t="array" ref="L10">_xlfn.IFS(K10&lt;=1, "Instant", K10&lt;=3, "Standard", K10&gt;3, "Delayed")</f>
        <v>Standard</v>
      </c>
    </row>
    <row r="11" spans="1:12" x14ac:dyDescent="0.35">
      <c r="A11" t="s">
        <v>34</v>
      </c>
      <c r="B11" t="s">
        <v>5</v>
      </c>
      <c r="C11" t="s">
        <v>41</v>
      </c>
      <c r="D11" s="1">
        <v>46149</v>
      </c>
      <c r="E11" s="1">
        <v>46149</v>
      </c>
      <c r="F11">
        <v>850</v>
      </c>
      <c r="G11" t="s">
        <v>46</v>
      </c>
      <c r="H11">
        <v>4.25</v>
      </c>
      <c r="I11" t="str">
        <f>IFERROR(_xlfn.XLOOKUP(C11, dim_merchants!A:A, dim_merchants!B:B), "")</f>
        <v>Almarai Digital</v>
      </c>
      <c r="J11" t="str">
        <f t="shared" si="0"/>
        <v>MCH-102</v>
      </c>
      <c r="K11">
        <f t="shared" si="1"/>
        <v>1</v>
      </c>
      <c r="L11" t="str" cm="1">
        <f t="array" ref="L11">_xlfn.IFS(K11&lt;=1, "Instant", K11&lt;=3, "Standard", K11&gt;3, "Delayed")</f>
        <v>Instant</v>
      </c>
    </row>
    <row r="12" spans="1:12" x14ac:dyDescent="0.35">
      <c r="A12" t="s">
        <v>35</v>
      </c>
      <c r="B12" t="s">
        <v>5</v>
      </c>
      <c r="C12" t="s">
        <v>42</v>
      </c>
      <c r="D12" s="1">
        <v>46150</v>
      </c>
      <c r="E12" s="1">
        <v>46154</v>
      </c>
      <c r="F12">
        <v>1100</v>
      </c>
      <c r="G12" t="s">
        <v>45</v>
      </c>
      <c r="H12">
        <v>11</v>
      </c>
      <c r="I12" t="str">
        <f>IFERROR(_xlfn.XLOOKUP(C12, dim_merchants!A:A, dim_merchants!B:B), "")</f>
        <v>Extra Direct</v>
      </c>
      <c r="J12" t="str">
        <f t="shared" si="0"/>
        <v>MCH-103</v>
      </c>
      <c r="K12">
        <f t="shared" si="1"/>
        <v>3</v>
      </c>
      <c r="L12" t="str" cm="1">
        <f t="array" ref="L12">_xlfn.IFS(K12&lt;=1, "Instant", K12&lt;=3, "Standard", K12&gt;3, "Delayed")</f>
        <v>Standard</v>
      </c>
    </row>
    <row r="13" spans="1:12" x14ac:dyDescent="0.35">
      <c r="A13" t="s">
        <v>36</v>
      </c>
      <c r="B13" t="s">
        <v>5</v>
      </c>
      <c r="C13" t="s">
        <v>43</v>
      </c>
      <c r="D13" s="1">
        <v>46151</v>
      </c>
      <c r="E13" s="1">
        <v>46153</v>
      </c>
      <c r="F13">
        <v>16500</v>
      </c>
      <c r="G13" t="s">
        <v>47</v>
      </c>
      <c r="H13">
        <v>330</v>
      </c>
      <c r="I13" t="str">
        <f>IFERROR(_xlfn.XLOOKUP(C13, dim_merchants!A:A, dim_merchants!B:B), "")</f>
        <v>Whites Pharmacy</v>
      </c>
      <c r="J13" t="str">
        <f t="shared" si="0"/>
        <v>MCH-104</v>
      </c>
      <c r="K13">
        <f t="shared" si="1"/>
        <v>1</v>
      </c>
      <c r="L13" t="str" cm="1">
        <f t="array" ref="L13">_xlfn.IFS(K13&lt;=1, "Instant", K13&lt;=3, "Standard", K13&gt;3, "Delayed")</f>
        <v>Instant</v>
      </c>
    </row>
    <row r="14" spans="1:12" x14ac:dyDescent="0.35">
      <c r="A14" t="s">
        <v>37</v>
      </c>
      <c r="B14" t="s">
        <v>3</v>
      </c>
      <c r="C14" t="s">
        <v>40</v>
      </c>
      <c r="D14" s="1">
        <v>46152</v>
      </c>
      <c r="E14" s="1">
        <v>46153</v>
      </c>
      <c r="F14">
        <v>2100</v>
      </c>
      <c r="G14" t="s">
        <v>44</v>
      </c>
      <c r="H14">
        <v>7</v>
      </c>
      <c r="I14" t="str">
        <f>IFERROR(_xlfn.XLOOKUP(C14, dim_merchants!A:A, dim_merchants!B:B), "")</f>
        <v>Jarir Express</v>
      </c>
      <c r="J14" t="str">
        <f t="shared" si="0"/>
        <v>MCH-101</v>
      </c>
      <c r="K14">
        <f t="shared" si="1"/>
        <v>1</v>
      </c>
      <c r="L14" t="str" cm="1">
        <f t="array" ref="L14">_xlfn.IFS(K14&lt;=1, "Instant", K14&lt;=3, "Standard", K14&gt;3, "Delayed")</f>
        <v>Instant</v>
      </c>
    </row>
    <row r="15" spans="1:12" x14ac:dyDescent="0.35">
      <c r="A15" t="s">
        <v>38</v>
      </c>
      <c r="B15" t="s">
        <v>4</v>
      </c>
      <c r="C15" t="s">
        <v>41</v>
      </c>
      <c r="D15" s="1">
        <v>46153</v>
      </c>
      <c r="E15" s="1">
        <v>46153</v>
      </c>
      <c r="F15">
        <v>320</v>
      </c>
      <c r="G15" t="s">
        <v>46</v>
      </c>
      <c r="H15">
        <v>1.6</v>
      </c>
      <c r="I15" t="str">
        <f>IFERROR(_xlfn.XLOOKUP(C15, dim_merchants!A:A, dim_merchants!B:B), "")</f>
        <v>Almarai Digital</v>
      </c>
      <c r="J15" t="str">
        <f t="shared" si="0"/>
        <v>MCH-102</v>
      </c>
      <c r="K15">
        <f t="shared" si="1"/>
        <v>1</v>
      </c>
      <c r="L15" t="str" cm="1">
        <f t="array" ref="L15">_xlfn.IFS(K15&lt;=1, "Instant", K15&lt;=3, "Standard", K15&gt;3, "Delayed")</f>
        <v>Instant</v>
      </c>
    </row>
    <row r="16" spans="1:12" x14ac:dyDescent="0.35">
      <c r="A16" t="s">
        <v>39</v>
      </c>
      <c r="B16" t="s">
        <v>5</v>
      </c>
      <c r="C16" t="s">
        <v>42</v>
      </c>
      <c r="D16" s="1">
        <v>46154</v>
      </c>
      <c r="E16" s="1">
        <v>46158</v>
      </c>
      <c r="F16">
        <v>980</v>
      </c>
      <c r="G16" t="s">
        <v>45</v>
      </c>
      <c r="H16">
        <v>9.8000000000000007</v>
      </c>
      <c r="I16" t="str">
        <f>IFERROR(_xlfn.XLOOKUP(C16, dim_merchants!A:A, dim_merchants!B:B), "")</f>
        <v>Extra Direct</v>
      </c>
      <c r="J16" t="str">
        <f t="shared" si="0"/>
        <v>MCH-103</v>
      </c>
      <c r="K16">
        <f t="shared" si="1"/>
        <v>4</v>
      </c>
      <c r="L16" t="str" cm="1">
        <f t="array" ref="L16">_xlfn.IFS(K16&lt;=1, "Instant", K16&lt;=3, "Standard", K16&gt;3, "Delayed")</f>
        <v>Delayed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dim_hubs</vt:lpstr>
      <vt:lpstr>dim_merchants</vt:lpstr>
      <vt:lpstr>fact_transactions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2026-06-01T15:23:47Z</dcterms:created>
  <dcterms:modified xsi:type="dcterms:W3CDTF">2026-06-03T07:01:44Z</dcterms:modified>
</cp:coreProperties>
</file>